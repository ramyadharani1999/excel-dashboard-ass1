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2e96923e5e997b5/Desktop/excel assingmant/"/>
    </mc:Choice>
  </mc:AlternateContent>
  <xr:revisionPtr revIDLastSave="6" documentId="8_{F5A437A7-D6E8-4CE9-B806-2100537EB078}" xr6:coauthVersionLast="47" xr6:coauthVersionMax="47" xr10:uidLastSave="{903BF34B-956F-48F4-AB42-592750D600CA}"/>
  <bookViews>
    <workbookView xWindow="-108" yWindow="-108" windowWidth="23256" windowHeight="12456" xr2:uid="{00000000-000D-0000-FFFF-FFFF00000000}"/>
  </bookViews>
  <sheets>
    <sheet name="Dataset" sheetId="2" r:id="rId1"/>
  </sheets>
  <calcPr calcId="191029"/>
</workbook>
</file>

<file path=xl/calcChain.xml><?xml version="1.0" encoding="utf-8"?>
<calcChain xmlns="http://schemas.openxmlformats.org/spreadsheetml/2006/main">
  <c r="J32" i="2" l="1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5" i="2"/>
  <c r="J4" i="2"/>
  <c r="J3" i="2"/>
  <c r="K32" i="2"/>
  <c r="K31" i="2"/>
  <c r="K30" i="2"/>
  <c r="K29" i="2"/>
  <c r="K28" i="2"/>
  <c r="K27" i="2"/>
  <c r="K25" i="2"/>
  <c r="K24" i="2"/>
  <c r="K23" i="2"/>
  <c r="K22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<sst xmlns="http://schemas.openxmlformats.org/spreadsheetml/2006/main" count="195" uniqueCount="123">
  <si>
    <t>Product ID</t>
  </si>
  <si>
    <t>Product Name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</si>
  <si>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</si>
  <si>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</si>
  <si>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</si>
  <si>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</si>
  <si>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</si>
  <si>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</si>
  <si>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</si>
  <si>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</si>
  <si>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</si>
  <si>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</si>
  <si>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</si>
  <si>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</si>
  <si>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</si>
  <si>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</si>
  <si>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</si>
  <si>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</si>
  <si>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</si>
  <si>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</si>
  <si>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</si>
  <si>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</si>
  <si>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</si>
  <si>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</si>
  <si>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</si>
  <si>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</si>
  <si>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</si>
  <si>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</si>
  <si>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</si>
  <si>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</si>
  <si>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</si>
  <si>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</si>
  <si>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</si>
  <si>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</si>
  <si>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</si>
  <si>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</si>
  <si>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</si>
  <si>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</si>
  <si>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</si>
  <si>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</si>
  <si>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</si>
  <si>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</si>
  <si>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</si>
  <si>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</si>
  <si>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</si>
  <si>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</si>
  <si>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</si>
  <si>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</si>
  <si>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</si>
  <si>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</si>
  <si>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</si>
  <si>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</si>
  <si>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</si>
  <si>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</si>
  <si>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</si>
  <si>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</si>
  <si>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</si>
  <si>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</si>
  <si>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</si>
  <si>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</si>
  <si>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</si>
  <si>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</si>
  <si>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</si>
  <si>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</si>
  <si>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</si>
  <si>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</si>
  <si>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</si>
  <si>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</si>
  <si>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</si>
  <si>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</si>
  <si>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</si>
  <si>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</si>
  <si>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</si>
  <si>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</si>
  <si>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</si>
  <si>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</si>
  <si>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</si>
  <si>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</si>
  <si>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</si>
  <si>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</si>
  <si>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</si>
  <si>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</si>
  <si>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</si>
  <si>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</si>
  <si>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</si>
  <si>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</si>
  <si>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</si>
  <si>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</si>
  <si>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</si>
  <si>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Unknown</t>
  </si>
  <si>
    <t>Electronicscs</t>
  </si>
  <si>
    <t>SamSung</t>
  </si>
  <si>
    <t>SamSonite</t>
  </si>
  <si>
    <t>Mouth</t>
  </si>
  <si>
    <t>Country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</si>
  <si>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</si>
  <si>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</si>
  <si>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</si>
  <si>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</si>
  <si>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</si>
  <si>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</si>
  <si>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</si>
  <si>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</si>
  <si>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</si>
  <si>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</si>
  <si>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</si>
  <si>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</si>
  <si>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</si>
  <si>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</si>
  <si>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</si>
  <si>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</si>
  <si>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</si>
  <si>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</si>
  <si>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</si>
  <si>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</si>
  <si>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</si>
  <si>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</si>
  <si>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</si>
  <si>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</si>
  <si>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Day</t>
  </si>
  <si>
    <t>Brand</t>
  </si>
  <si>
    <t>Price($)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</si>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</sst>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 &quot;₹&quot;\ * #,##0.00_ ;_ &quot;₹&quot;\ * \-#,##0.00_ ;_ &quot;₹&quot;\ * &quot;-&quot;??_ ;_ @_ "/>
    <numFmt numFmtId="164" formatCode="[$$-C09]#,##0.00"/>
  </numFmts>
  <fonts count="7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b/>
      <sz val="12"/>
      <color theme="1"/>
      <name val="Times New Roman"/>
      <family val="1"/>
    </font>
    <font>
      <sz val="10"/>
      <color rgb="FF000000"/>
      <name val="Arial"/>
      <charset val="134"/>
      <scheme val="minor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6" fillId="0" borderId="0" xfId="0" applyFont="1"/>
    <xf numFmtId="44" fontId="0" fillId="0" borderId="0" xfId="1" applyFont="1"/>
    <xf numFmtId="164" fontId="2" fillId="0" borderId="0" xfId="0" applyNumberFormat="1" applyFont="1"/>
    <xf numFmtId="164" fontId="2" fillId="3" borderId="0" xfId="0" applyNumberFormat="1" applyFont="1" applyFill="1"/>
    <xf numFmtId="164" fontId="0" fillId="0" borderId="0" xfId="0" applyNumberFormat="1"/>
  </cellXfs>
  <cellStyles count="2">
    <cellStyle name="Currency" xfId="1" builtinId="4"/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selection activeCell="M8" sqref="M8"/>
    </sheetView>
  </sheetViews>
  <sheetFormatPr defaultColWidth="12.6640625" defaultRowHeight="15" customHeight="1"/>
  <cols>
    <col min="1" max="6" width="12.6640625" customWidth="1"/>
  </cols>
  <sheetData>
    <row r="1" spans="1:27" ht="15.75" customHeight="1">
      <c r="A1" s="1" t="s">
        <v>0</v>
      </c>
      <c r="B1" s="1" t="s">
        <v>119</v>
      </c>
      <c r="C1" s="1" t="s">
        <v>93</v>
      </c>
      <c r="D1" s="1" t="s">
        <v>94</v>
      </c>
      <c r="E1" s="1" t="s">
        <v>1</v>
      </c>
      <c r="F1" s="1" t="s">
        <v>120</v>
      </c>
      <c r="G1" s="1" t="s">
        <v>121</v>
      </c>
      <c r="H1" s="1" t="s">
        <v>2</v>
      </c>
      <c r="I1" s="1" t="s">
        <v>3</v>
      </c>
      <c r="J1" s="1" t="s">
        <v>3</v>
      </c>
      <c r="K1" s="1" t="s">
        <v>122</v>
      </c>
      <c r="L1" s="1"/>
      <c r="M1" s="1"/>
      <c r="N1" s="1"/>
      <c r="O1" s="1"/>
    </row>
    <row r="2" spans="1:27" ht="15.75" customHeight="1">
      <c r="A2" s="2" t="s">
        <v>4</v>
      </c>
      <c r="B2" s="2">
        <v>28</v>
      </c>
      <c r="C2" s="2" t="s">
        <v>95</v>
      </c>
      <c r="D2" s="2" t="s">
        <v>96</v>
      </c>
      <c r="E2" s="2" t="s">
        <v>36</v>
      </c>
      <c r="F2" s="2" t="s">
        <v>5</v>
      </c>
      <c r="G2" s="8">
        <v>1000</v>
      </c>
      <c r="H2" s="2">
        <v>30</v>
      </c>
      <c r="I2" s="2" t="s">
        <v>90</v>
      </c>
      <c r="J2" t="s">
        <v>90</v>
      </c>
      <c r="K2" s="10">
        <f t="shared" ref="K2:K32" si="0">IF(ISBLANK(G2),AVERAGE($D$2:$D$35),G2)</f>
        <v>1000</v>
      </c>
    </row>
    <row r="3" spans="1:27" ht="15.75" customHeight="1">
      <c r="A3" s="3" t="s">
        <v>7</v>
      </c>
      <c r="B3" s="3">
        <v>15</v>
      </c>
      <c r="C3" s="3" t="s">
        <v>97</v>
      </c>
      <c r="D3" s="3" t="s">
        <v>96</v>
      </c>
      <c r="E3" s="3" t="s">
        <v>8</v>
      </c>
      <c r="F3" s="3" t="s">
        <v>9</v>
      </c>
      <c r="G3" s="9">
        <v>80</v>
      </c>
      <c r="H3" s="3">
        <v>15</v>
      </c>
      <c r="I3" s="3" t="s">
        <v>10</v>
      </c>
      <c r="J3" t="str">
        <f>IF(ISBLANK(I3),"Unknown",I3)</f>
        <v>Fashion</v>
      </c>
      <c r="K3" s="10">
        <f t="shared" si="0"/>
        <v>80</v>
      </c>
      <c r="P3" s="4"/>
      <c r="Q3" s="2"/>
      <c r="R3" s="2"/>
      <c r="S3" s="2"/>
    </row>
    <row r="4" spans="1:27" ht="15.75" customHeight="1">
      <c r="A4" s="2" t="s">
        <v>11</v>
      </c>
      <c r="B4" s="2">
        <v>3</v>
      </c>
      <c r="C4" s="2" t="s">
        <v>98</v>
      </c>
      <c r="D4" s="2" t="s">
        <v>96</v>
      </c>
      <c r="E4" s="2" t="s">
        <v>12</v>
      </c>
      <c r="F4" s="2" t="s">
        <v>13</v>
      </c>
      <c r="G4" s="8">
        <v>130</v>
      </c>
      <c r="H4" s="2">
        <v>40</v>
      </c>
      <c r="I4" s="2" t="s">
        <v>14</v>
      </c>
      <c r="J4" t="str">
        <f>IF(ISBLANK(I4),"Unknown",I4)</f>
        <v>Kitchen</v>
      </c>
      <c r="K4" s="10">
        <f t="shared" si="0"/>
        <v>130</v>
      </c>
      <c r="P4" s="4"/>
      <c r="Q4" s="2"/>
      <c r="R4" s="2"/>
      <c r="S4" s="2"/>
      <c r="T4" s="5"/>
      <c r="U4" s="2"/>
      <c r="V4" s="2"/>
      <c r="W4" s="2"/>
      <c r="X4" s="2"/>
    </row>
    <row r="5" spans="1:27" ht="15.75" customHeight="1">
      <c r="A5" s="3" t="s">
        <v>15</v>
      </c>
      <c r="B5" s="3">
        <v>11</v>
      </c>
      <c r="C5" s="3" t="s">
        <v>99</v>
      </c>
      <c r="D5" s="3" t="s">
        <v>96</v>
      </c>
      <c r="E5" s="3" t="s">
        <v>69</v>
      </c>
      <c r="F5" s="3" t="s">
        <v>91</v>
      </c>
      <c r="G5" s="9">
        <v>900</v>
      </c>
      <c r="H5" s="3">
        <v>25</v>
      </c>
      <c r="I5" s="3" t="s">
        <v>90</v>
      </c>
      <c r="J5" t="str">
        <f>IF(ISBLANK(I5),"Unknown",I5)</f>
        <v>Electronicscs</v>
      </c>
      <c r="K5" s="10">
        <f t="shared" si="0"/>
        <v>900</v>
      </c>
      <c r="P5" s="4"/>
      <c r="Q5" s="2"/>
      <c r="R5" s="2"/>
      <c r="S5" s="2"/>
      <c r="T5" s="2"/>
      <c r="U5" s="2"/>
      <c r="V5" s="2"/>
      <c r="W5" s="2"/>
      <c r="X5" s="2"/>
    </row>
    <row r="6" spans="1:27" ht="15.75" customHeight="1">
      <c r="A6" s="2" t="s">
        <v>16</v>
      </c>
      <c r="B6" s="2">
        <v>22</v>
      </c>
      <c r="C6" s="2" t="s">
        <v>100</v>
      </c>
      <c r="D6" s="2" t="s">
        <v>96</v>
      </c>
      <c r="E6" s="2" t="s">
        <v>17</v>
      </c>
      <c r="F6" s="2" t="s">
        <v>18</v>
      </c>
      <c r="G6" s="8">
        <v>70</v>
      </c>
      <c r="H6" s="2">
        <v>20</v>
      </c>
      <c r="I6" s="2"/>
      <c r="J6" t="s">
        <v>89</v>
      </c>
      <c r="K6" s="10">
        <f t="shared" si="0"/>
        <v>70</v>
      </c>
      <c r="P6" s="4"/>
      <c r="Q6" s="2"/>
      <c r="R6" s="2"/>
      <c r="S6" s="2"/>
      <c r="T6" s="2"/>
      <c r="U6" s="2"/>
      <c r="V6" s="2"/>
      <c r="W6" s="2"/>
      <c r="X6" s="2"/>
    </row>
    <row r="7" spans="1:27" ht="15.75" customHeight="1">
      <c r="A7" s="3" t="s">
        <v>19</v>
      </c>
      <c r="B7" s="3">
        <v>7</v>
      </c>
      <c r="C7" s="3" t="s">
        <v>101</v>
      </c>
      <c r="D7" s="3" t="s">
        <v>102</v>
      </c>
      <c r="E7" s="3" t="s">
        <v>20</v>
      </c>
      <c r="F7" s="3" t="s">
        <v>21</v>
      </c>
      <c r="G7" s="9"/>
      <c r="H7" s="3">
        <v>45</v>
      </c>
      <c r="I7" s="3" t="s">
        <v>6</v>
      </c>
      <c r="J7" t="str">
        <f t="shared" ref="J7:J32" si="1">IF(ISBLANK(I7),"Unknown",I7)</f>
        <v>Electronics</v>
      </c>
      <c r="K7" s="10">
        <v>298</v>
      </c>
      <c r="P7" s="4"/>
      <c r="Q7" s="2"/>
      <c r="R7" s="2"/>
      <c r="S7" s="2"/>
      <c r="U7" s="2"/>
      <c r="V7" s="2"/>
      <c r="W7" s="2"/>
    </row>
    <row r="8" spans="1:27" ht="15.75" customHeight="1">
      <c r="A8" s="2" t="s">
        <v>22</v>
      </c>
      <c r="B8" s="2">
        <v>19</v>
      </c>
      <c r="C8" s="2" t="s">
        <v>103</v>
      </c>
      <c r="D8" s="2" t="s">
        <v>102</v>
      </c>
      <c r="E8" s="2" t="s">
        <v>23</v>
      </c>
      <c r="F8" s="2" t="s">
        <v>24</v>
      </c>
      <c r="G8" s="8">
        <v>30</v>
      </c>
      <c r="H8" s="2">
        <v>5</v>
      </c>
      <c r="I8" s="2" t="s">
        <v>10</v>
      </c>
      <c r="J8" t="str">
        <f t="shared" si="1"/>
        <v>Fashion</v>
      </c>
      <c r="K8" s="10">
        <f t="shared" si="0"/>
        <v>30</v>
      </c>
      <c r="P8" s="4"/>
      <c r="Q8" s="2"/>
      <c r="R8" s="2"/>
      <c r="S8" s="2"/>
      <c r="U8" s="2"/>
      <c r="V8" s="2"/>
      <c r="W8" s="2"/>
    </row>
    <row r="9" spans="1:27" ht="15.75" customHeight="1">
      <c r="A9" s="3" t="s">
        <v>25</v>
      </c>
      <c r="B9" s="3">
        <v>23</v>
      </c>
      <c r="C9" s="3" t="s">
        <v>104</v>
      </c>
      <c r="D9" s="3" t="s">
        <v>102</v>
      </c>
      <c r="E9" s="3" t="s">
        <v>26</v>
      </c>
      <c r="F9" s="3" t="s">
        <v>27</v>
      </c>
      <c r="G9" s="9">
        <v>90</v>
      </c>
      <c r="H9" s="3">
        <v>35</v>
      </c>
      <c r="I9" s="3" t="s">
        <v>14</v>
      </c>
      <c r="J9" t="str">
        <f t="shared" si="1"/>
        <v>Kitchen</v>
      </c>
      <c r="K9" s="10">
        <f t="shared" si="0"/>
        <v>90</v>
      </c>
      <c r="P9" s="4"/>
      <c r="Q9" s="2"/>
      <c r="R9" s="2"/>
      <c r="S9" s="2"/>
      <c r="U9" s="2"/>
      <c r="V9" s="2"/>
      <c r="W9" s="2"/>
    </row>
    <row r="10" spans="1:27" ht="15.75" customHeight="1">
      <c r="A10" s="2" t="s">
        <v>28</v>
      </c>
      <c r="B10" s="2">
        <v>5</v>
      </c>
      <c r="C10" s="2" t="s">
        <v>105</v>
      </c>
      <c r="D10" s="2" t="s">
        <v>102</v>
      </c>
      <c r="E10" s="2" t="s">
        <v>29</v>
      </c>
      <c r="F10" s="2" t="s">
        <v>30</v>
      </c>
      <c r="G10" s="8">
        <v>500</v>
      </c>
      <c r="H10" s="2">
        <v>50</v>
      </c>
      <c r="I10" s="2" t="s">
        <v>90</v>
      </c>
      <c r="J10" t="str">
        <f t="shared" si="1"/>
        <v>Electronicscs</v>
      </c>
      <c r="K10" s="10">
        <f t="shared" si="0"/>
        <v>500</v>
      </c>
      <c r="P10" s="4"/>
      <c r="Q10" s="6"/>
      <c r="R10" s="2"/>
      <c r="S10" s="2"/>
      <c r="U10" s="2"/>
      <c r="V10" s="2"/>
      <c r="W10" s="2"/>
    </row>
    <row r="11" spans="1:27" ht="15.75" customHeight="1">
      <c r="A11" s="3" t="s">
        <v>31</v>
      </c>
      <c r="B11" s="3">
        <v>14</v>
      </c>
      <c r="C11" s="3" t="s">
        <v>106</v>
      </c>
      <c r="D11" s="3" t="s">
        <v>102</v>
      </c>
      <c r="E11" s="3" t="s">
        <v>32</v>
      </c>
      <c r="F11" s="3" t="s">
        <v>33</v>
      </c>
      <c r="G11" s="9">
        <v>130</v>
      </c>
      <c r="H11" s="3">
        <v>10</v>
      </c>
      <c r="I11" s="3" t="s">
        <v>34</v>
      </c>
      <c r="J11" t="str">
        <f t="shared" si="1"/>
        <v>Outdoor</v>
      </c>
      <c r="K11" s="10">
        <f t="shared" si="0"/>
        <v>130</v>
      </c>
      <c r="P11" s="4"/>
      <c r="Q11" s="2"/>
      <c r="R11" s="2"/>
      <c r="S11" s="2"/>
      <c r="U11" s="2"/>
      <c r="V11" s="2"/>
      <c r="W11" s="2"/>
    </row>
    <row r="12" spans="1:27" ht="15.75" customHeight="1">
      <c r="A12" s="2" t="s">
        <v>35</v>
      </c>
      <c r="B12" s="2">
        <v>17</v>
      </c>
      <c r="C12" s="2" t="s">
        <v>101</v>
      </c>
      <c r="D12" s="2" t="s">
        <v>107</v>
      </c>
      <c r="E12" s="2" t="s">
        <v>36</v>
      </c>
      <c r="F12" s="2" t="s">
        <v>37</v>
      </c>
      <c r="G12" s="8">
        <v>950</v>
      </c>
      <c r="H12" s="2">
        <v>25</v>
      </c>
      <c r="I12" s="2" t="s">
        <v>90</v>
      </c>
      <c r="J12" t="str">
        <f t="shared" si="1"/>
        <v>Electronicscs</v>
      </c>
      <c r="K12" s="10">
        <f t="shared" si="0"/>
        <v>950</v>
      </c>
      <c r="P12" s="4"/>
      <c r="Q12" s="2"/>
      <c r="R12" s="2"/>
      <c r="S12" s="2"/>
      <c r="U12" s="2"/>
      <c r="V12" s="2"/>
      <c r="W12" s="2"/>
    </row>
    <row r="13" spans="1:27" ht="15.75" customHeight="1">
      <c r="A13" s="3" t="s">
        <v>38</v>
      </c>
      <c r="B13" s="3">
        <v>25</v>
      </c>
      <c r="C13" s="3" t="s">
        <v>108</v>
      </c>
      <c r="D13" s="3" t="s">
        <v>109</v>
      </c>
      <c r="E13" s="3" t="s">
        <v>8</v>
      </c>
      <c r="F13" s="3" t="s">
        <v>24</v>
      </c>
      <c r="G13" s="9">
        <v>90</v>
      </c>
      <c r="H13" s="3">
        <v>40</v>
      </c>
      <c r="I13" s="3"/>
      <c r="J13" t="str">
        <f t="shared" si="1"/>
        <v>Unknown</v>
      </c>
      <c r="K13" s="10">
        <f t="shared" si="0"/>
        <v>90</v>
      </c>
      <c r="U13" s="2"/>
      <c r="V13" s="2"/>
      <c r="W13" s="2"/>
    </row>
    <row r="14" spans="1:27" ht="15.75" customHeight="1">
      <c r="A14" s="2" t="s">
        <v>39</v>
      </c>
      <c r="B14" s="2">
        <v>8</v>
      </c>
      <c r="C14" s="2" t="s">
        <v>110</v>
      </c>
      <c r="D14" s="2" t="s">
        <v>111</v>
      </c>
      <c r="E14" s="2" t="s">
        <v>12</v>
      </c>
      <c r="F14" s="2" t="s">
        <v>40</v>
      </c>
      <c r="G14" s="8">
        <v>120</v>
      </c>
      <c r="H14" s="2">
        <v>35</v>
      </c>
      <c r="I14" s="2"/>
      <c r="J14" t="str">
        <f t="shared" si="1"/>
        <v>Unknown</v>
      </c>
      <c r="K14" s="10">
        <f t="shared" si="0"/>
        <v>120</v>
      </c>
      <c r="Y14" s="2"/>
      <c r="Z14" s="2"/>
      <c r="AA14" s="2"/>
    </row>
    <row r="15" spans="1:27" ht="15.75" customHeight="1">
      <c r="A15" s="3" t="s">
        <v>41</v>
      </c>
      <c r="B15" s="3">
        <v>18</v>
      </c>
      <c r="C15" s="3" t="s">
        <v>97</v>
      </c>
      <c r="D15" s="3" t="s">
        <v>112</v>
      </c>
      <c r="E15" s="3" t="s">
        <v>42</v>
      </c>
      <c r="F15" s="3" t="s">
        <v>43</v>
      </c>
      <c r="G15" s="9">
        <v>150</v>
      </c>
      <c r="H15" s="3">
        <v>15</v>
      </c>
      <c r="I15" s="3" t="s">
        <v>6</v>
      </c>
      <c r="J15" t="str">
        <f t="shared" si="1"/>
        <v>Electronics</v>
      </c>
      <c r="K15" s="10">
        <f t="shared" si="0"/>
        <v>150</v>
      </c>
    </row>
    <row r="16" spans="1:27" ht="15.75" customHeight="1">
      <c r="A16" s="2" t="s">
        <v>44</v>
      </c>
      <c r="B16" s="2">
        <v>16</v>
      </c>
      <c r="C16" s="2" t="s">
        <v>99</v>
      </c>
      <c r="D16" s="2" t="s">
        <v>113</v>
      </c>
      <c r="E16" s="2" t="s">
        <v>20</v>
      </c>
      <c r="F16" s="2" t="s">
        <v>45</v>
      </c>
      <c r="G16" s="8">
        <v>250</v>
      </c>
      <c r="H16" s="2">
        <v>20</v>
      </c>
      <c r="I16" s="2" t="s">
        <v>6</v>
      </c>
      <c r="J16" t="str">
        <f t="shared" si="1"/>
        <v>Electronics</v>
      </c>
      <c r="K16" s="10">
        <f t="shared" si="0"/>
        <v>250</v>
      </c>
      <c r="S16" s="7"/>
    </row>
    <row r="17" spans="1:11" ht="15.75" customHeight="1">
      <c r="A17" s="3" t="s">
        <v>46</v>
      </c>
      <c r="B17" s="3">
        <v>21</v>
      </c>
      <c r="C17" s="3" t="s">
        <v>104</v>
      </c>
      <c r="D17" s="3" t="s">
        <v>112</v>
      </c>
      <c r="E17" s="3" t="s">
        <v>47</v>
      </c>
      <c r="F17" s="3" t="s">
        <v>92</v>
      </c>
      <c r="G17" s="9">
        <v>50</v>
      </c>
      <c r="H17" s="3">
        <v>35</v>
      </c>
      <c r="I17" s="3" t="s">
        <v>48</v>
      </c>
      <c r="J17" t="str">
        <f t="shared" si="1"/>
        <v>Accessories</v>
      </c>
      <c r="K17" s="10">
        <f t="shared" si="0"/>
        <v>50</v>
      </c>
    </row>
    <row r="18" spans="1:11" ht="15.75" customHeight="1">
      <c r="A18" s="2" t="s">
        <v>49</v>
      </c>
      <c r="B18" s="2">
        <v>20</v>
      </c>
      <c r="C18" s="2" t="s">
        <v>104</v>
      </c>
      <c r="D18" s="2" t="s">
        <v>114</v>
      </c>
      <c r="E18" s="2" t="s">
        <v>42</v>
      </c>
      <c r="F18" s="2" t="s">
        <v>50</v>
      </c>
      <c r="G18" s="8">
        <v>160</v>
      </c>
      <c r="H18" s="2">
        <v>15</v>
      </c>
      <c r="I18" s="2" t="s">
        <v>6</v>
      </c>
      <c r="J18" t="str">
        <f t="shared" si="1"/>
        <v>Electronics</v>
      </c>
      <c r="K18" s="10">
        <f t="shared" si="0"/>
        <v>160</v>
      </c>
    </row>
    <row r="19" spans="1:11" ht="15.75" customHeight="1">
      <c r="A19" s="3" t="s">
        <v>51</v>
      </c>
      <c r="B19" s="3">
        <v>27</v>
      </c>
      <c r="C19" s="3" t="s">
        <v>95</v>
      </c>
      <c r="D19" s="3" t="s">
        <v>115</v>
      </c>
      <c r="E19" s="3" t="s">
        <v>36</v>
      </c>
      <c r="F19" s="3" t="s">
        <v>52</v>
      </c>
      <c r="G19" s="9">
        <v>980</v>
      </c>
      <c r="H19" s="3">
        <v>10</v>
      </c>
      <c r="I19" s="3" t="s">
        <v>90</v>
      </c>
      <c r="J19" t="str">
        <f t="shared" si="1"/>
        <v>Electronicscs</v>
      </c>
      <c r="K19" s="10">
        <f t="shared" si="0"/>
        <v>980</v>
      </c>
    </row>
    <row r="20" spans="1:11" ht="15.75" customHeight="1">
      <c r="A20" s="2" t="s">
        <v>53</v>
      </c>
      <c r="B20" s="2">
        <v>1</v>
      </c>
      <c r="C20" s="2" t="s">
        <v>98</v>
      </c>
      <c r="D20" s="2" t="s">
        <v>102</v>
      </c>
      <c r="E20" s="2" t="s">
        <v>54</v>
      </c>
      <c r="F20" s="2" t="s">
        <v>55</v>
      </c>
      <c r="G20" s="8">
        <v>150</v>
      </c>
      <c r="H20" s="2">
        <v>15</v>
      </c>
      <c r="I20" s="2" t="s">
        <v>10</v>
      </c>
      <c r="J20" t="str">
        <f t="shared" si="1"/>
        <v>Fashion</v>
      </c>
      <c r="K20" s="10">
        <f t="shared" si="0"/>
        <v>150</v>
      </c>
    </row>
    <row r="21" spans="1:11" ht="15.75" customHeight="1">
      <c r="A21" s="3" t="s">
        <v>56</v>
      </c>
      <c r="B21" s="3">
        <v>14</v>
      </c>
      <c r="C21" s="3" t="s">
        <v>104</v>
      </c>
      <c r="D21" s="3" t="s">
        <v>96</v>
      </c>
      <c r="E21" s="3" t="s">
        <v>57</v>
      </c>
      <c r="F21" s="3" t="s">
        <v>58</v>
      </c>
      <c r="G21" s="9"/>
      <c r="H21" s="3">
        <v>10</v>
      </c>
      <c r="I21" s="3" t="s">
        <v>34</v>
      </c>
      <c r="J21" t="str">
        <f t="shared" si="1"/>
        <v>Outdoor</v>
      </c>
      <c r="K21" s="10">
        <v>298</v>
      </c>
    </row>
    <row r="22" spans="1:11" ht="15.75" customHeight="1">
      <c r="A22" s="2" t="s">
        <v>59</v>
      </c>
      <c r="B22" s="2">
        <v>14</v>
      </c>
      <c r="C22" s="2" t="s">
        <v>100</v>
      </c>
      <c r="D22" s="2" t="s">
        <v>116</v>
      </c>
      <c r="E22" s="2" t="s">
        <v>60</v>
      </c>
      <c r="F22" s="2" t="s">
        <v>61</v>
      </c>
      <c r="G22" s="8">
        <v>700</v>
      </c>
      <c r="H22" s="2">
        <v>50</v>
      </c>
      <c r="I22" s="2" t="s">
        <v>90</v>
      </c>
      <c r="J22" t="str">
        <f t="shared" si="1"/>
        <v>Electronicscs</v>
      </c>
      <c r="K22" s="10">
        <f t="shared" si="0"/>
        <v>700</v>
      </c>
    </row>
    <row r="23" spans="1:11" ht="15.75" customHeight="1">
      <c r="A23" s="3" t="s">
        <v>62</v>
      </c>
      <c r="B23" s="3">
        <v>9</v>
      </c>
      <c r="C23" s="3" t="s">
        <v>95</v>
      </c>
      <c r="D23" s="3" t="s">
        <v>112</v>
      </c>
      <c r="E23" s="3" t="s">
        <v>63</v>
      </c>
      <c r="F23" s="3" t="s">
        <v>64</v>
      </c>
      <c r="G23" s="9">
        <v>80</v>
      </c>
      <c r="H23" s="3">
        <v>20</v>
      </c>
      <c r="I23" s="3" t="s">
        <v>14</v>
      </c>
      <c r="J23" t="str">
        <f t="shared" si="1"/>
        <v>Kitchen</v>
      </c>
      <c r="K23" s="10">
        <f t="shared" si="0"/>
        <v>80</v>
      </c>
    </row>
    <row r="24" spans="1:11" ht="15.75" customHeight="1">
      <c r="A24" s="2" t="s">
        <v>65</v>
      </c>
      <c r="B24" s="2">
        <v>19</v>
      </c>
      <c r="C24" s="2" t="s">
        <v>103</v>
      </c>
      <c r="D24" s="2" t="s">
        <v>117</v>
      </c>
      <c r="E24" s="2" t="s">
        <v>66</v>
      </c>
      <c r="F24" s="2" t="s">
        <v>67</v>
      </c>
      <c r="G24" s="8">
        <v>150</v>
      </c>
      <c r="H24" s="2">
        <v>30</v>
      </c>
      <c r="I24" s="2"/>
      <c r="J24" t="str">
        <f t="shared" si="1"/>
        <v>Unknown</v>
      </c>
      <c r="K24" s="10">
        <f t="shared" si="0"/>
        <v>150</v>
      </c>
    </row>
    <row r="25" spans="1:11" ht="15.75" customHeight="1">
      <c r="A25" s="2" t="s">
        <v>68</v>
      </c>
      <c r="B25" s="2">
        <v>29</v>
      </c>
      <c r="C25" s="2" t="s">
        <v>105</v>
      </c>
      <c r="D25" s="2" t="s">
        <v>112</v>
      </c>
      <c r="E25" s="2" t="s">
        <v>69</v>
      </c>
      <c r="F25" s="2" t="s">
        <v>70</v>
      </c>
      <c r="G25" s="8">
        <v>800</v>
      </c>
      <c r="H25" s="2">
        <v>45</v>
      </c>
      <c r="I25" s="2" t="s">
        <v>90</v>
      </c>
      <c r="J25" t="str">
        <f t="shared" si="1"/>
        <v>Electronicscs</v>
      </c>
      <c r="K25" s="10">
        <f t="shared" si="0"/>
        <v>800</v>
      </c>
    </row>
    <row r="26" spans="1:11" ht="15.75" customHeight="1">
      <c r="A26" s="3" t="s">
        <v>71</v>
      </c>
      <c r="B26" s="3">
        <v>3</v>
      </c>
      <c r="C26" s="3" t="s">
        <v>101</v>
      </c>
      <c r="D26" s="3" t="s">
        <v>112</v>
      </c>
      <c r="E26" s="3" t="s">
        <v>54</v>
      </c>
      <c r="F26" s="3" t="s">
        <v>72</v>
      </c>
      <c r="G26" s="9"/>
      <c r="H26" s="3">
        <v>25</v>
      </c>
      <c r="I26" s="3" t="s">
        <v>10</v>
      </c>
      <c r="J26" t="str">
        <f t="shared" si="1"/>
        <v>Fashion</v>
      </c>
      <c r="K26" s="10">
        <v>298</v>
      </c>
    </row>
    <row r="27" spans="1:11" ht="15.75" customHeight="1">
      <c r="A27" s="2" t="s">
        <v>73</v>
      </c>
      <c r="B27" s="2">
        <v>11</v>
      </c>
      <c r="C27" s="2" t="s">
        <v>103</v>
      </c>
      <c r="D27" s="2" t="s">
        <v>112</v>
      </c>
      <c r="E27" s="2" t="s">
        <v>26</v>
      </c>
      <c r="F27" s="2" t="s">
        <v>74</v>
      </c>
      <c r="G27" s="8">
        <v>400</v>
      </c>
      <c r="H27" s="2">
        <v>40</v>
      </c>
      <c r="I27" s="2" t="s">
        <v>14</v>
      </c>
      <c r="J27" t="str">
        <f t="shared" si="1"/>
        <v>Kitchen</v>
      </c>
      <c r="K27" s="10">
        <f t="shared" si="0"/>
        <v>400</v>
      </c>
    </row>
    <row r="28" spans="1:11" ht="15.75" customHeight="1">
      <c r="A28" s="2" t="s">
        <v>75</v>
      </c>
      <c r="B28" s="2">
        <v>7</v>
      </c>
      <c r="C28" s="2" t="s">
        <v>98</v>
      </c>
      <c r="D28" s="2" t="s">
        <v>112</v>
      </c>
      <c r="E28" s="2" t="s">
        <v>76</v>
      </c>
      <c r="F28" s="2" t="s">
        <v>77</v>
      </c>
      <c r="G28" s="8">
        <v>60</v>
      </c>
      <c r="H28" s="2">
        <v>30</v>
      </c>
      <c r="I28" s="2" t="s">
        <v>10</v>
      </c>
      <c r="J28" t="str">
        <f t="shared" si="1"/>
        <v>Fashion</v>
      </c>
      <c r="K28" s="10">
        <f t="shared" si="0"/>
        <v>60</v>
      </c>
    </row>
    <row r="29" spans="1:11" ht="15.75" customHeight="1">
      <c r="A29" s="3" t="s">
        <v>78</v>
      </c>
      <c r="B29" s="3">
        <v>13</v>
      </c>
      <c r="C29" s="3" t="s">
        <v>99</v>
      </c>
      <c r="D29" s="3" t="s">
        <v>112</v>
      </c>
      <c r="E29" s="3" t="s">
        <v>79</v>
      </c>
      <c r="F29" s="3" t="s">
        <v>80</v>
      </c>
      <c r="G29" s="9">
        <v>40</v>
      </c>
      <c r="H29" s="3">
        <v>10</v>
      </c>
      <c r="I29" s="3" t="s">
        <v>14</v>
      </c>
      <c r="J29" t="str">
        <f t="shared" si="1"/>
        <v>Kitchen</v>
      </c>
      <c r="K29" s="10">
        <f t="shared" si="0"/>
        <v>40</v>
      </c>
    </row>
    <row r="30" spans="1:11" ht="15.75" customHeight="1">
      <c r="A30" s="2" t="s">
        <v>81</v>
      </c>
      <c r="B30" s="2">
        <v>24</v>
      </c>
      <c r="C30" s="2" t="s">
        <v>100</v>
      </c>
      <c r="D30" s="2" t="s">
        <v>112</v>
      </c>
      <c r="E30" s="2" t="s">
        <v>66</v>
      </c>
      <c r="F30" s="2" t="s">
        <v>82</v>
      </c>
      <c r="G30" s="8">
        <v>130</v>
      </c>
      <c r="H30" s="2">
        <v>5</v>
      </c>
      <c r="I30" s="2" t="s">
        <v>90</v>
      </c>
      <c r="J30" t="str">
        <f t="shared" si="1"/>
        <v>Electronicscs</v>
      </c>
      <c r="K30" s="10">
        <f t="shared" si="0"/>
        <v>130</v>
      </c>
    </row>
    <row r="31" spans="1:11" ht="15.75" customHeight="1">
      <c r="A31" s="3" t="s">
        <v>83</v>
      </c>
      <c r="B31" s="3">
        <v>2</v>
      </c>
      <c r="C31" s="3" t="s">
        <v>110</v>
      </c>
      <c r="D31" s="3" t="s">
        <v>112</v>
      </c>
      <c r="E31" s="3" t="s">
        <v>84</v>
      </c>
      <c r="F31" s="3" t="s">
        <v>85</v>
      </c>
      <c r="G31" s="9">
        <v>50</v>
      </c>
      <c r="H31" s="3">
        <v>50</v>
      </c>
      <c r="I31" s="3" t="s">
        <v>10</v>
      </c>
      <c r="J31" t="str">
        <f t="shared" si="1"/>
        <v>Fashion</v>
      </c>
      <c r="K31" s="10">
        <f t="shared" si="0"/>
        <v>50</v>
      </c>
    </row>
    <row r="32" spans="1:11" ht="15.75" customHeight="1">
      <c r="A32" s="3" t="s">
        <v>86</v>
      </c>
      <c r="B32" s="3">
        <v>9</v>
      </c>
      <c r="C32" s="3" t="s">
        <v>103</v>
      </c>
      <c r="D32" s="3" t="s">
        <v>118</v>
      </c>
      <c r="E32" s="3" t="s">
        <v>87</v>
      </c>
      <c r="F32" s="3" t="s">
        <v>88</v>
      </c>
      <c r="G32" s="9">
        <v>100</v>
      </c>
      <c r="H32" s="3">
        <v>20</v>
      </c>
      <c r="I32" s="3" t="s">
        <v>48</v>
      </c>
      <c r="J32" t="str">
        <f t="shared" si="1"/>
        <v>Accessories</v>
      </c>
      <c r="K32" s="10">
        <f t="shared" si="0"/>
        <v>100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J2:J32">
    <cfRule type="containsText" dxfId="6" priority="4" operator="containsText" text="unknown">
      <formula>NOT(ISERROR(SEARCH("unknown",J2)))</formula>
    </cfRule>
  </conditionalFormatting>
  <conditionalFormatting sqref="K2:K32">
    <cfRule type="containsText" dxfId="5" priority="3" operator="containsText" text="297">
      <formula>NOT(ISERROR(SEARCH("297",K2)))</formula>
    </cfRule>
  </conditionalFormatting>
  <conditionalFormatting sqref="K4:K32">
    <cfRule type="containsText" dxfId="4" priority="1" operator="containsText" text="298">
      <formula>NOT(ISERROR(SEARCH("298",K4)))</formula>
    </cfRule>
  </conditionalFormatting>
  <conditionalFormatting sqref="R11">
    <cfRule type="containsText" dxfId="3" priority="2" operator="containsText" text="298">
      <formula>NOT(ISERROR(SEARCH("298",R11)))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Mohamed Naufal</cp:lastModifiedBy>
  <dcterms:created xsi:type="dcterms:W3CDTF">2026-07-23T14:43:37Z</dcterms:created>
  <dcterms:modified xsi:type="dcterms:W3CDTF">2026-08-30T17:29:48Z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